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waves-my.sharepoint.com/personal/ycyou_m-waves_com/Documents/PCB/V4_MotorDriver/"/>
    </mc:Choice>
  </mc:AlternateContent>
  <xr:revisionPtr revIDLastSave="422" documentId="11_2E8F6F78A56906AE739E887464DCC40DD82B21BA" xr6:coauthVersionLast="47" xr6:coauthVersionMax="47" xr10:uidLastSave="{D33F7CE1-F8EA-4DE8-9D97-EEC510B1817E}"/>
  <bookViews>
    <workbookView xWindow="-108" yWindow="-108" windowWidth="23256" windowHeight="13896" tabRatio="500" activeTab="1" xr2:uid="{00000000-000D-0000-FFFF-FFFF00000000}"/>
  </bookViews>
  <sheets>
    <sheet name="RotorStator_Control_Board(보드1개분" sheetId="1" r:id="rId1"/>
    <sheet name="ESPBoard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E19" i="3"/>
  <c r="D19" i="3"/>
  <c r="G16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" i="3"/>
  <c r="C17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" i="3"/>
  <c r="B16" i="3"/>
  <c r="B5" i="3"/>
  <c r="H17" i="1"/>
  <c r="H6" i="1"/>
  <c r="H2" i="1"/>
</calcChain>
</file>

<file path=xl/sharedStrings.xml><?xml version="1.0" encoding="utf-8"?>
<sst xmlns="http://schemas.openxmlformats.org/spreadsheetml/2006/main" count="203" uniqueCount="146">
  <si>
    <t>No,</t>
    <phoneticPr fontId="2" type="noConversion"/>
  </si>
  <si>
    <t>부품기호</t>
    <phoneticPr fontId="2" type="noConversion"/>
  </si>
  <si>
    <t>값</t>
    <phoneticPr fontId="2" type="noConversion"/>
  </si>
  <si>
    <t>설명</t>
    <phoneticPr fontId="2" type="noConversion"/>
  </si>
  <si>
    <t>공급처</t>
    <phoneticPr fontId="2" type="noConversion"/>
  </si>
  <si>
    <t>단가</t>
    <phoneticPr fontId="2" type="noConversion"/>
  </si>
  <si>
    <t>링크</t>
    <phoneticPr fontId="2" type="noConversion"/>
  </si>
  <si>
    <t>J1,J2,J5</t>
    <phoneticPr fontId="2" type="noConversion"/>
  </si>
  <si>
    <t>XT90PW-M</t>
    <phoneticPr fontId="2" type="noConversion"/>
  </si>
  <si>
    <t>전원 커넥터, XT90PW 수, 2핀, 45A(연속)/피크90A, 500V, THT 수평실장</t>
    <phoneticPr fontId="2" type="noConversion"/>
  </si>
  <si>
    <t>갯수</t>
    <phoneticPr fontId="2" type="noConversion"/>
  </si>
  <si>
    <t>디바이스마트</t>
    <phoneticPr fontId="2" type="noConversion"/>
  </si>
  <si>
    <t>엘레파츠</t>
    <phoneticPr fontId="2" type="noConversion"/>
  </si>
  <si>
    <t>https://www.eleparts.co.kr/goods/view?no=12773229</t>
    <phoneticPr fontId="2" type="noConversion"/>
  </si>
  <si>
    <t>D1</t>
    <phoneticPr fontId="2" type="noConversion"/>
  </si>
  <si>
    <t>FOOTPRINT</t>
    <phoneticPr fontId="2" type="noConversion"/>
  </si>
  <si>
    <t>AMASS_XT90PW-M</t>
    <phoneticPr fontId="2" type="noConversion"/>
  </si>
  <si>
    <t>DIOM5025X220N</t>
    <phoneticPr fontId="2" type="noConversion"/>
  </si>
  <si>
    <t>SS54-HF</t>
    <phoneticPr fontId="2" type="noConversion"/>
  </si>
  <si>
    <t>Diode, Schottky, 40V, 5A, SMA (DO-214AC)</t>
    <phoneticPr fontId="2" type="noConversion"/>
  </si>
  <si>
    <t>https://www.devicemart.co.kr/goods/view?no=15948320</t>
    <phoneticPr fontId="2" type="noConversion"/>
  </si>
  <si>
    <t>TVS Diode, Unidirectional, 58V Standoff, 93.6V Clamp, 1500W, SMC (DO-214AB)</t>
    <phoneticPr fontId="2" type="noConversion"/>
  </si>
  <si>
    <t>SMCJ58A</t>
    <phoneticPr fontId="2" type="noConversion"/>
  </si>
  <si>
    <t>DIOM7959X262N</t>
    <phoneticPr fontId="2" type="noConversion"/>
  </si>
  <si>
    <t>https://www.devicemart.co.kr/goods/view?no=15930384</t>
    <phoneticPr fontId="2" type="noConversion"/>
  </si>
  <si>
    <t>D2</t>
    <phoneticPr fontId="2" type="noConversion"/>
  </si>
  <si>
    <t>RES0805W</t>
    <phoneticPr fontId="2" type="noConversion"/>
  </si>
  <si>
    <t>10K</t>
    <phoneticPr fontId="2" type="noConversion"/>
  </si>
  <si>
    <t>https://www.devicemart.co.kr/goods/view?no=1376585</t>
    <phoneticPr fontId="2" type="noConversion"/>
  </si>
  <si>
    <t>ChipResistor, SMD, F급, (±1%), 10K옴, 2012, 1/8W</t>
    <phoneticPr fontId="2" type="noConversion"/>
  </si>
  <si>
    <t xml:space="preserve">R1,R3,R4,R5,R7,R8 </t>
    <phoneticPr fontId="2" type="noConversion"/>
  </si>
  <si>
    <t>R2,R6</t>
    <phoneticPr fontId="2" type="noConversion"/>
  </si>
  <si>
    <t>66.5K</t>
    <phoneticPr fontId="2" type="noConversion"/>
  </si>
  <si>
    <t>https://www.devicemart.co.kr/goods/view?no=26630</t>
    <phoneticPr fontId="2" type="noConversion"/>
  </si>
  <si>
    <t>ChipResistor / SMD / F급 / (±1%) / 66.5K옴 / 2012 사이즈 / 1릴 : 5000개</t>
    <phoneticPr fontId="2" type="noConversion"/>
  </si>
  <si>
    <t>C1,C4</t>
    <phoneticPr fontId="2" type="noConversion"/>
  </si>
  <si>
    <t>CAPAE1900X2200N</t>
    <phoneticPr fontId="2" type="noConversion"/>
  </si>
  <si>
    <t>https://www.devicemart.co.kr/goods/view?no=16012986</t>
    <phoneticPr fontId="2" type="noConversion"/>
  </si>
  <si>
    <t>470uF</t>
    <phoneticPr fontId="2" type="noConversion"/>
  </si>
  <si>
    <t xml:space="preserve">470uF ±20% 100V Aluminum Electrolytic Capacitors 5000hrs@105℃ </t>
    <phoneticPr fontId="2" type="noConversion"/>
  </si>
  <si>
    <t>M1,M2,M3,M4,
M5,M6,M7,M8</t>
    <phoneticPr fontId="2" type="noConversion"/>
  </si>
  <si>
    <t>IRFB4115</t>
    <phoneticPr fontId="2" type="noConversion"/>
  </si>
  <si>
    <t>https://www.devicemart.co.kr/goods/view?no=14931375</t>
    <phoneticPr fontId="2" type="noConversion"/>
  </si>
  <si>
    <t>INFINEON - IRFB4115PBF - Power MOSFET, N Channel, 
150 V, 104 A, 0.011 ohm, TO-220AB, Through Hol</t>
    <phoneticPr fontId="2" type="noConversion"/>
  </si>
  <si>
    <t>C2,C5,C6,C9,C11,C14,C16,C17,C20,C22</t>
    <phoneticPr fontId="2" type="noConversion"/>
  </si>
  <si>
    <t>CAP0805R</t>
    <phoneticPr fontId="2" type="noConversion"/>
  </si>
  <si>
    <t>100nF(=0.1uF)</t>
    <phoneticPr fontId="2" type="noConversion"/>
  </si>
  <si>
    <t>https://www.devicemart.co.kr/goods/view?no=8191</t>
    <phoneticPr fontId="2" type="noConversion"/>
  </si>
  <si>
    <t>2012 / 100nF / 50V / K급 / SMD세라믹캐패시터</t>
    <phoneticPr fontId="2" type="noConversion"/>
  </si>
  <si>
    <t>C3,C10,C15,C21</t>
    <phoneticPr fontId="2" type="noConversion"/>
  </si>
  <si>
    <t>10uF</t>
    <phoneticPr fontId="2" type="noConversion"/>
  </si>
  <si>
    <t>1uF</t>
    <phoneticPr fontId="2" type="noConversion"/>
  </si>
  <si>
    <t>https://www.devicemart.co.kr/goods/view?no=14913274</t>
    <phoneticPr fontId="2" type="noConversion"/>
  </si>
  <si>
    <t>사이즈 : 2012 / 전압 : 50Vdc / 용량 : 1uF / 오차 : ±10 % / 온도특성 : X7R</t>
    <phoneticPr fontId="2" type="noConversion"/>
  </si>
  <si>
    <t>C7,C12,C18,C23</t>
    <phoneticPr fontId="2" type="noConversion"/>
  </si>
  <si>
    <t>https://www.devicemart.co.kr/goods/view?no=14913258</t>
    <phoneticPr fontId="2" type="noConversion"/>
  </si>
  <si>
    <t>사이즈 : 2012 / 전압 : 25Vdc / 용량 : 10uF / 오차 : ±10 % / 온도특성 : X5R</t>
    <phoneticPr fontId="2" type="noConversion"/>
  </si>
  <si>
    <t>C8,C13,C19,C24</t>
    <phoneticPr fontId="2" type="noConversion"/>
  </si>
  <si>
    <t>470nF(=0.47uF)</t>
    <phoneticPr fontId="2" type="noConversion"/>
  </si>
  <si>
    <t>https://www.devicemart.co.kr/goods/view?no=1382403</t>
    <phoneticPr fontId="2" type="noConversion"/>
  </si>
  <si>
    <t>2012 / 470nF / 50V / K급 / SMD세라믹캐패시터</t>
    <phoneticPr fontId="2" type="noConversion"/>
  </si>
  <si>
    <t>BEADC1608X95N</t>
    <phoneticPr fontId="2" type="noConversion"/>
  </si>
  <si>
    <t>FL1,FL2</t>
    <phoneticPr fontId="2" type="noConversion"/>
  </si>
  <si>
    <t>BLM18AG601SN1D</t>
    <phoneticPr fontId="2" type="noConversion"/>
  </si>
  <si>
    <t>페라이트 비드 600 OHM 25% Alternate Sizing Guide Below / 
Mouser Part Number : 81-BLM11A601S</t>
    <phoneticPr fontId="2" type="noConversion"/>
  </si>
  <si>
    <t>https://www.devicemart.co.kr/goods/view?no=15405006</t>
    <phoneticPr fontId="2" type="noConversion"/>
  </si>
  <si>
    <t>J3</t>
    <phoneticPr fontId="2" type="noConversion"/>
  </si>
  <si>
    <t>JST_B10B-XH-A</t>
    <phoneticPr fontId="2" type="noConversion"/>
  </si>
  <si>
    <t>S10B-XH-A</t>
    <phoneticPr fontId="2" type="noConversion"/>
  </si>
  <si>
    <t>https://www.devicemart.co.kr/goods/view?no=15442721</t>
    <phoneticPr fontId="2" type="noConversion"/>
  </si>
  <si>
    <t>A1,A2</t>
    <phoneticPr fontId="2" type="noConversion"/>
  </si>
  <si>
    <t>ACS37220</t>
    <phoneticPr fontId="2" type="noConversion"/>
  </si>
  <si>
    <t>https://www.devicemart.co.kr/goods/view?no=16042461</t>
    <phoneticPr fontId="2" type="noConversion"/>
  </si>
  <si>
    <t>U1,U2,U3,U4</t>
    <phoneticPr fontId="2" type="noConversion"/>
  </si>
  <si>
    <t>A89500GEJTR-T</t>
    <phoneticPr fontId="2" type="noConversion"/>
  </si>
  <si>
    <t>https://www.devicemart.co.kr/goods/view?no=16042465</t>
    <phoneticPr fontId="2" type="noConversion"/>
  </si>
  <si>
    <t>MOLEX_353180420</t>
    <phoneticPr fontId="2" type="noConversion"/>
  </si>
  <si>
    <t>J4</t>
    <phoneticPr fontId="2" type="noConversion"/>
  </si>
  <si>
    <t>Gate Driver, Half-Bridge, 100V, N-Ch MOSFET, Bootstrap, 8-15V VCC, DFN-10</t>
    <phoneticPr fontId="2" type="noConversion"/>
  </si>
  <si>
    <t>35318-0420</t>
    <phoneticPr fontId="2" type="noConversion"/>
  </si>
  <si>
    <t>Connector, Header, Mini-Fit Jr, 4.2mm, 2x2, 4-Circuit, Right-Angle, 6A, THT</t>
    <phoneticPr fontId="2" type="noConversion"/>
  </si>
  <si>
    <t>https://www.devicemart.co.kr/goods/view?no=16042466</t>
    <phoneticPr fontId="2" type="noConversion"/>
  </si>
  <si>
    <t>C2</t>
    <phoneticPr fontId="2" type="noConversion"/>
  </si>
  <si>
    <t>100uF</t>
    <phoneticPr fontId="2" type="noConversion"/>
  </si>
  <si>
    <t>[SAMYOUNG] SMD E/C 35V 100uF (105℃)/6.3 Ø x8mm</t>
    <phoneticPr fontId="2" type="noConversion"/>
  </si>
  <si>
    <t>https://www.devicemart.co.kr/goods/view?no=30362</t>
    <phoneticPr fontId="2" type="noConversion"/>
  </si>
  <si>
    <t>141V-6P</t>
    <phoneticPr fontId="2" type="noConversion"/>
  </si>
  <si>
    <t>DG5,DG6</t>
    <phoneticPr fontId="2" type="noConversion"/>
  </si>
  <si>
    <t>https://www.devicemart.co.kr/goods/view?no=23323</t>
    <phoneticPr fontId="2" type="noConversion"/>
  </si>
  <si>
    <t xml:space="preserve">핀간격 2.54mm / 전압 150V / 전류 2A / AWG : 26~20 </t>
    <phoneticPr fontId="2" type="noConversion"/>
  </si>
  <si>
    <t>DG2,DG3</t>
    <phoneticPr fontId="2" type="noConversion"/>
  </si>
  <si>
    <t>141V (6핀)</t>
    <phoneticPr fontId="2" type="noConversion"/>
  </si>
  <si>
    <t>141V (12핀)</t>
    <phoneticPr fontId="2" type="noConversion"/>
  </si>
  <si>
    <t xml:space="preserve"> 핀간격 2.54mm / 전압 150V / 전류 2A / AWG : 26~20</t>
    <phoneticPr fontId="2" type="noConversion"/>
  </si>
  <si>
    <t>https://www.devicemart.co.kr/goods/view?no=23317</t>
  </si>
  <si>
    <t>141V-12P</t>
    <phoneticPr fontId="2" type="noConversion"/>
  </si>
  <si>
    <t>DG1</t>
    <phoneticPr fontId="2" type="noConversion"/>
  </si>
  <si>
    <t>141V-20P</t>
    <phoneticPr fontId="2" type="noConversion"/>
  </si>
  <si>
    <t>141V (20핀)</t>
    <phoneticPr fontId="2" type="noConversion"/>
  </si>
  <si>
    <t>https://www.devicemart.co.kr/goods/view?no=23309</t>
    <phoneticPr fontId="2" type="noConversion"/>
  </si>
  <si>
    <t>220uF</t>
  </si>
  <si>
    <t>220uF</t>
    <phoneticPr fontId="2" type="noConversion"/>
  </si>
  <si>
    <t>C1</t>
    <phoneticPr fontId="2" type="noConversion"/>
  </si>
  <si>
    <t>[SAMYOUNG] SMD E/C 35V 220uF (85℃)/8Ø x10mm</t>
    <phoneticPr fontId="2" type="noConversion"/>
  </si>
  <si>
    <t>https://www.devicemart.co.kr/goods/view?no=1245625</t>
    <phoneticPr fontId="2" type="noConversion"/>
  </si>
  <si>
    <t>5566-02_MOL</t>
    <phoneticPr fontId="2" type="noConversion"/>
  </si>
  <si>
    <t>J1,J5</t>
    <phoneticPr fontId="2" type="noConversion"/>
  </si>
  <si>
    <t>https://www.devicemart.co.kr/goods/view?no=348</t>
    <phoneticPr fontId="2" type="noConversion"/>
  </si>
  <si>
    <t>5557 커넥터에 사용 / 스트레이트 타입 / 4.2mm 피치 / 2pin</t>
    <phoneticPr fontId="2" type="noConversion"/>
  </si>
  <si>
    <t>5566-04_MOL</t>
    <phoneticPr fontId="2" type="noConversion"/>
  </si>
  <si>
    <t>5557 커넥터에 사용 / 스트레이트 타입 / 4.2mm 피치 / 4pin</t>
    <phoneticPr fontId="2" type="noConversion"/>
  </si>
  <si>
    <t>https://www.devicemart.co.kr/goods/view?no=349</t>
    <phoneticPr fontId="2" type="noConversion"/>
  </si>
  <si>
    <t>J2,J6</t>
    <phoneticPr fontId="2" type="noConversion"/>
  </si>
  <si>
    <t>C3</t>
    <phoneticPr fontId="2" type="noConversion"/>
  </si>
  <si>
    <t>SMD타입 3A/40V, 서지 100A (4.5X2.5) / SMA</t>
    <phoneticPr fontId="2" type="noConversion"/>
  </si>
  <si>
    <t>DIOM7959X265N</t>
    <phoneticPr fontId="2" type="noConversion"/>
  </si>
  <si>
    <t>SS34</t>
    <phoneticPr fontId="2" type="noConversion"/>
  </si>
  <si>
    <t>https://www.devicemart.co.kr/goods/view?no=11738</t>
    <phoneticPr fontId="2" type="noConversion"/>
  </si>
  <si>
    <t>https://www.devicemart.co.kr/goods/view?no=3585</t>
    <phoneticPr fontId="2" type="noConversion"/>
  </si>
  <si>
    <t>U2</t>
    <phoneticPr fontId="2" type="noConversion"/>
  </si>
  <si>
    <t>ESP32-S3-WROOM2</t>
    <phoneticPr fontId="2" type="noConversion"/>
  </si>
  <si>
    <t>ESP32-S3-DEVKITC-1</t>
    <phoneticPr fontId="2" type="noConversion"/>
  </si>
  <si>
    <t>핀헤더 소켓 / 스트레이트 타입 / DIP 타입 / 2.54mm pitch / 1열 / 40pin</t>
    <phoneticPr fontId="2" type="noConversion"/>
  </si>
  <si>
    <t>J3,J4</t>
    <phoneticPr fontId="2" type="noConversion"/>
  </si>
  <si>
    <t>Connector Header Through Hole, Right Angle 10 position 0.098" (2.50mm) / 
Digi-Key Part Number : 455-S10B-XH-A-ND</t>
    <phoneticPr fontId="2" type="noConversion"/>
  </si>
  <si>
    <t>R1</t>
    <phoneticPr fontId="2" type="noConversion"/>
  </si>
  <si>
    <t>1K</t>
    <phoneticPr fontId="2" type="noConversion"/>
  </si>
  <si>
    <t>ChipResistor / SMD / J급 / (±5%) / 1K옴 / 2012</t>
    <phoneticPr fontId="2" type="noConversion"/>
  </si>
  <si>
    <t>https://www.devicemart.co.kr/goods/view?no=19277</t>
    <phoneticPr fontId="2" type="noConversion"/>
  </si>
  <si>
    <t>https://www.devicemart.co.kr/goods/view?no=39586</t>
    <phoneticPr fontId="2" type="noConversion"/>
  </si>
  <si>
    <t>ChipResistor / SMD / B급 / (±0.1%) / 3.3K옴 / 2012 /
 HighPrecisionChipResistors / 1/10W / 온도계수(TCR=25ppm)</t>
    <phoneticPr fontId="2" type="noConversion"/>
  </si>
  <si>
    <t>3.3K</t>
    <phoneticPr fontId="2" type="noConversion"/>
  </si>
  <si>
    <t>R2</t>
    <phoneticPr fontId="2" type="noConversion"/>
  </si>
  <si>
    <t>SC1280S-33uH</t>
    <phoneticPr fontId="2" type="noConversion"/>
  </si>
  <si>
    <t>33uH</t>
    <phoneticPr fontId="2" type="noConversion"/>
  </si>
  <si>
    <t>L1</t>
    <phoneticPr fontId="2" type="noConversion"/>
  </si>
  <si>
    <t>https://www.devicemart.co.kr/goods/view?no=6615</t>
    <phoneticPr fontId="2" type="noConversion"/>
  </si>
  <si>
    <t>파워인덕터 / 용량값 : 33uH / 사이즈 : 12.2 X 12.2 X 8.0/ -20℃ ~85℃</t>
    <phoneticPr fontId="2" type="noConversion"/>
  </si>
  <si>
    <t>VREG_LM2596S-5.0/NOPB</t>
    <phoneticPr fontId="2" type="noConversion"/>
  </si>
  <si>
    <t>LM2596S-5.0</t>
    <phoneticPr fontId="2" type="noConversion"/>
  </si>
  <si>
    <t>VR1</t>
    <phoneticPr fontId="2" type="noConversion"/>
  </si>
  <si>
    <t>https://www.devicemart.co.kr/goods/view?no=12458270</t>
    <phoneticPr fontId="2" type="noConversion"/>
  </si>
  <si>
    <t>Buck Switching Regulator IC Positive Fixed 5V 1 Output 3A TO-263-6, 
D2PAK (5 Leads + Tab), TO-263BA / Digi-Key Part Number : LM2596S-5.0/NOPB-ND</t>
    <phoneticPr fontId="2" type="noConversion"/>
  </si>
  <si>
    <r>
      <t xml:space="preserve">ACS37220LEZATR-150B3
</t>
    </r>
    <r>
      <rPr>
        <b/>
        <sz val="11"/>
        <color rgb="FF0000FF"/>
        <rFont val="맑은 고딕"/>
        <family val="3"/>
        <charset val="129"/>
      </rPr>
      <t>ACS37220LEZATR-100B3</t>
    </r>
    <phoneticPr fontId="2" type="noConversion"/>
  </si>
  <si>
    <r>
      <t xml:space="preserve">Current Sensor, Hall-Effect, ±150A, Bidirectional, 3.3V, Analog Out, QFN-7 (4x4mm)
</t>
    </r>
    <r>
      <rPr>
        <b/>
        <sz val="11"/>
        <color rgb="FF0000FF"/>
        <rFont val="맑은 고딕"/>
        <family val="3"/>
        <charset val="129"/>
      </rPr>
      <t>Current Sensor, Hall-Effect, ±100A, Bidirectional, 3.3V, Analog Out, QFN-7 (4x4mm)</t>
    </r>
    <phoneticPr fontId="2" type="noConversion"/>
  </si>
  <si>
    <t>02+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</si>
</sst>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0000FF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evicemart.co.kr/goods/view?no=8191" TargetMode="External"/><Relationship Id="rId13" Type="http://schemas.openxmlformats.org/officeDocument/2006/relationships/hyperlink" Target="https://www.devicemart.co.kr/goods/view?no=15442721" TargetMode="External"/><Relationship Id="rId3" Type="http://schemas.openxmlformats.org/officeDocument/2006/relationships/hyperlink" Target="https://www.devicemart.co.kr/goods/view?no=15930384" TargetMode="External"/><Relationship Id="rId7" Type="http://schemas.openxmlformats.org/officeDocument/2006/relationships/hyperlink" Target="https://www.devicemart.co.kr/goods/view?no=14931375" TargetMode="External"/><Relationship Id="rId12" Type="http://schemas.openxmlformats.org/officeDocument/2006/relationships/hyperlink" Target="https://www.devicemart.co.kr/goods/view?no=15405006" TargetMode="External"/><Relationship Id="rId2" Type="http://schemas.openxmlformats.org/officeDocument/2006/relationships/hyperlink" Target="https://www.devicemart.co.kr/goods/view?no=15948320" TargetMode="External"/><Relationship Id="rId16" Type="http://schemas.openxmlformats.org/officeDocument/2006/relationships/hyperlink" Target="https://www.devicemart.co.kr/goods/view?no=16042466" TargetMode="External"/><Relationship Id="rId1" Type="http://schemas.openxmlformats.org/officeDocument/2006/relationships/hyperlink" Target="https://www.eleparts.co.kr/goods/view?no=12773229" TargetMode="External"/><Relationship Id="rId6" Type="http://schemas.openxmlformats.org/officeDocument/2006/relationships/hyperlink" Target="https://www.devicemart.co.kr/goods/view?no=16012986" TargetMode="External"/><Relationship Id="rId11" Type="http://schemas.openxmlformats.org/officeDocument/2006/relationships/hyperlink" Target="https://www.devicemart.co.kr/goods/view?no=1382403" TargetMode="External"/><Relationship Id="rId5" Type="http://schemas.openxmlformats.org/officeDocument/2006/relationships/hyperlink" Target="https://www.devicemart.co.kr/goods/view?no=26630" TargetMode="External"/><Relationship Id="rId15" Type="http://schemas.openxmlformats.org/officeDocument/2006/relationships/hyperlink" Target="https://www.devicemart.co.kr/goods/view?no=16042465" TargetMode="External"/><Relationship Id="rId10" Type="http://schemas.openxmlformats.org/officeDocument/2006/relationships/hyperlink" Target="https://www.devicemart.co.kr/goods/view?no=14913258" TargetMode="External"/><Relationship Id="rId4" Type="http://schemas.openxmlformats.org/officeDocument/2006/relationships/hyperlink" Target="https://www.devicemart.co.kr/goods/view?no=1376585" TargetMode="External"/><Relationship Id="rId9" Type="http://schemas.openxmlformats.org/officeDocument/2006/relationships/hyperlink" Target="https://www.devicemart.co.kr/goods/view?no=14913274" TargetMode="External"/><Relationship Id="rId14" Type="http://schemas.openxmlformats.org/officeDocument/2006/relationships/hyperlink" Target="https://www.devicemart.co.kr/goods/view?no=1604246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evicemart.co.kr/goods/view?no=11738" TargetMode="External"/><Relationship Id="rId13" Type="http://schemas.openxmlformats.org/officeDocument/2006/relationships/hyperlink" Target="https://www.devicemart.co.kr/goods/view?no=6615" TargetMode="External"/><Relationship Id="rId3" Type="http://schemas.openxmlformats.org/officeDocument/2006/relationships/hyperlink" Target="https://www.devicemart.co.kr/goods/view?no=23309" TargetMode="External"/><Relationship Id="rId7" Type="http://schemas.openxmlformats.org/officeDocument/2006/relationships/hyperlink" Target="https://www.devicemart.co.kr/goods/view?no=8191" TargetMode="External"/><Relationship Id="rId12" Type="http://schemas.openxmlformats.org/officeDocument/2006/relationships/hyperlink" Target="https://www.devicemart.co.kr/goods/view?no=39586" TargetMode="External"/><Relationship Id="rId2" Type="http://schemas.openxmlformats.org/officeDocument/2006/relationships/hyperlink" Target="https://www.devicemart.co.kr/goods/view?no=23323" TargetMode="External"/><Relationship Id="rId1" Type="http://schemas.openxmlformats.org/officeDocument/2006/relationships/hyperlink" Target="https://www.devicemart.co.kr/goods/view?no=30362" TargetMode="External"/><Relationship Id="rId6" Type="http://schemas.openxmlformats.org/officeDocument/2006/relationships/hyperlink" Target="https://www.devicemart.co.kr/goods/view?no=349" TargetMode="External"/><Relationship Id="rId11" Type="http://schemas.openxmlformats.org/officeDocument/2006/relationships/hyperlink" Target="https://www.devicemart.co.kr/goods/view?no=19277" TargetMode="External"/><Relationship Id="rId5" Type="http://schemas.openxmlformats.org/officeDocument/2006/relationships/hyperlink" Target="https://www.devicemart.co.kr/goods/view?no=348" TargetMode="External"/><Relationship Id="rId10" Type="http://schemas.openxmlformats.org/officeDocument/2006/relationships/hyperlink" Target="https://www.devicemart.co.kr/goods/view?no=15442721" TargetMode="External"/><Relationship Id="rId4" Type="http://schemas.openxmlformats.org/officeDocument/2006/relationships/hyperlink" Target="https://www.devicemart.co.kr/goods/view?no=1245625" TargetMode="External"/><Relationship Id="rId9" Type="http://schemas.openxmlformats.org/officeDocument/2006/relationships/hyperlink" Target="https://www.devicemart.co.kr/goods/view?no=3585" TargetMode="External"/><Relationship Id="rId14" Type="http://schemas.openxmlformats.org/officeDocument/2006/relationships/hyperlink" Target="https://www.devicemart.co.kr/goods/view?no=124582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7"/>
  <sheetViews>
    <sheetView zoomScale="85" zoomScaleNormal="85" workbookViewId="0">
      <selection activeCell="F2" sqref="F2"/>
    </sheetView>
  </sheetViews>
  <sheetFormatPr defaultRowHeight="17.399999999999999" x14ac:dyDescent="0.4"/>
  <cols>
    <col min="1" max="1" width="4.296875" bestFit="1" customWidth="1"/>
    <col min="2" max="2" width="19.09765625" bestFit="1" customWidth="1"/>
    <col min="3" max="3" width="6.19921875" bestFit="1" customWidth="1"/>
    <col min="4" max="4" width="24.19921875" bestFit="1" customWidth="1"/>
    <col min="5" max="5" width="18.19921875" bestFit="1" customWidth="1"/>
    <col min="6" max="6" width="78.796875" bestFit="1" customWidth="1"/>
    <col min="7" max="7" width="12.3984375" bestFit="1" customWidth="1"/>
    <col min="8" max="8" width="6.3984375" bestFit="1" customWidth="1"/>
    <col min="9" max="9" width="50.5" customWidth="1"/>
  </cols>
  <sheetData>
    <row r="1" spans="1:9" ht="21" x14ac:dyDescent="0.45">
      <c r="A1" s="2" t="s">
        <v>0</v>
      </c>
      <c r="B1" s="2" t="s">
        <v>1</v>
      </c>
      <c r="C1" s="2" t="s">
        <v>10</v>
      </c>
      <c r="D1" s="2" t="s">
        <v>2</v>
      </c>
      <c r="E1" s="2" t="s">
        <v>15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4">
      <c r="A2" s="1">
        <v>1</v>
      </c>
      <c r="B2" s="3" t="s">
        <v>7</v>
      </c>
      <c r="C2" s="1">
        <v>3</v>
      </c>
      <c r="D2" s="3" t="s">
        <v>8</v>
      </c>
      <c r="E2" s="3" t="s">
        <v>16</v>
      </c>
      <c r="F2" s="3" t="s">
        <v>9</v>
      </c>
      <c r="G2" s="3" t="s">
        <v>12</v>
      </c>
      <c r="H2" s="1">
        <f>IF(C2&gt;=10, 1485, 1540)</f>
        <v>1540</v>
      </c>
      <c r="I2" s="4" t="s">
        <v>13</v>
      </c>
    </row>
    <row r="3" spans="1:9" x14ac:dyDescent="0.4">
      <c r="A3" s="1">
        <v>2</v>
      </c>
      <c r="B3" s="3" t="s">
        <v>14</v>
      </c>
      <c r="C3" s="1">
        <v>1</v>
      </c>
      <c r="D3" s="3" t="s">
        <v>18</v>
      </c>
      <c r="E3" s="3" t="s">
        <v>17</v>
      </c>
      <c r="F3" s="3" t="s">
        <v>19</v>
      </c>
      <c r="G3" s="3" t="s">
        <v>11</v>
      </c>
      <c r="H3" s="1">
        <v>1331</v>
      </c>
      <c r="I3" s="4" t="s">
        <v>20</v>
      </c>
    </row>
    <row r="4" spans="1:9" x14ac:dyDescent="0.4">
      <c r="A4" s="1">
        <v>3</v>
      </c>
      <c r="B4" s="3" t="s">
        <v>25</v>
      </c>
      <c r="C4" s="1">
        <v>1</v>
      </c>
      <c r="D4" s="3" t="s">
        <v>22</v>
      </c>
      <c r="E4" s="3" t="s">
        <v>23</v>
      </c>
      <c r="F4" s="3" t="s">
        <v>21</v>
      </c>
      <c r="G4" s="3" t="s">
        <v>11</v>
      </c>
      <c r="H4" s="1">
        <v>1331</v>
      </c>
      <c r="I4" s="4" t="s">
        <v>24</v>
      </c>
    </row>
    <row r="5" spans="1:9" x14ac:dyDescent="0.4">
      <c r="A5" s="1">
        <v>4</v>
      </c>
      <c r="B5" s="3" t="s">
        <v>30</v>
      </c>
      <c r="C5" s="1">
        <v>6</v>
      </c>
      <c r="D5" s="3" t="s">
        <v>27</v>
      </c>
      <c r="E5" s="3" t="s">
        <v>26</v>
      </c>
      <c r="F5" s="3" t="s">
        <v>29</v>
      </c>
      <c r="G5" s="3" t="s">
        <v>11</v>
      </c>
      <c r="H5" s="1">
        <v>5.5</v>
      </c>
      <c r="I5" s="4" t="s">
        <v>28</v>
      </c>
    </row>
    <row r="6" spans="1:9" x14ac:dyDescent="0.4">
      <c r="A6" s="1">
        <v>5</v>
      </c>
      <c r="B6" s="3" t="s">
        <v>31</v>
      </c>
      <c r="C6" s="1">
        <v>2</v>
      </c>
      <c r="D6" s="3" t="s">
        <v>32</v>
      </c>
      <c r="E6" s="3" t="s">
        <v>26</v>
      </c>
      <c r="F6" s="3" t="s">
        <v>34</v>
      </c>
      <c r="G6" s="3" t="s">
        <v>11</v>
      </c>
      <c r="H6" s="1">
        <f>(14850/5000)</f>
        <v>2.97</v>
      </c>
      <c r="I6" s="4" t="s">
        <v>33</v>
      </c>
    </row>
    <row r="7" spans="1:9" x14ac:dyDescent="0.4">
      <c r="A7" s="1">
        <v>6</v>
      </c>
      <c r="B7" s="3" t="s">
        <v>35</v>
      </c>
      <c r="C7" s="1">
        <v>2</v>
      </c>
      <c r="D7" s="3" t="s">
        <v>38</v>
      </c>
      <c r="E7" s="3" t="s">
        <v>36</v>
      </c>
      <c r="F7" s="3" t="s">
        <v>39</v>
      </c>
      <c r="G7" s="3" t="s">
        <v>11</v>
      </c>
      <c r="H7" s="1">
        <v>12221</v>
      </c>
      <c r="I7" s="4" t="s">
        <v>37</v>
      </c>
    </row>
    <row r="8" spans="1:9" ht="34.799999999999997" x14ac:dyDescent="0.4">
      <c r="A8" s="5">
        <v>7</v>
      </c>
      <c r="B8" s="8" t="s">
        <v>40</v>
      </c>
      <c r="C8" s="5">
        <v>8</v>
      </c>
      <c r="D8" s="6" t="s">
        <v>41</v>
      </c>
      <c r="E8" s="6" t="s">
        <v>41</v>
      </c>
      <c r="F8" s="8" t="s">
        <v>43</v>
      </c>
      <c r="G8" s="6" t="s">
        <v>11</v>
      </c>
      <c r="H8" s="5">
        <v>6127</v>
      </c>
      <c r="I8" s="7" t="s">
        <v>42</v>
      </c>
    </row>
    <row r="9" spans="1:9" ht="46.2" customHeight="1" x14ac:dyDescent="0.4">
      <c r="A9" s="5">
        <v>8</v>
      </c>
      <c r="B9" s="8" t="s">
        <v>44</v>
      </c>
      <c r="C9" s="5">
        <v>10</v>
      </c>
      <c r="D9" s="6" t="s">
        <v>46</v>
      </c>
      <c r="E9" s="6" t="s">
        <v>45</v>
      </c>
      <c r="F9" s="6" t="s">
        <v>48</v>
      </c>
      <c r="G9" s="6" t="s">
        <v>11</v>
      </c>
      <c r="H9" s="5">
        <v>44</v>
      </c>
      <c r="I9" s="7" t="s">
        <v>47</v>
      </c>
    </row>
    <row r="10" spans="1:9" x14ac:dyDescent="0.4">
      <c r="A10" s="1">
        <v>9</v>
      </c>
      <c r="B10" s="3" t="s">
        <v>49</v>
      </c>
      <c r="C10" s="1">
        <v>4</v>
      </c>
      <c r="D10" s="3" t="s">
        <v>51</v>
      </c>
      <c r="E10" s="6" t="s">
        <v>45</v>
      </c>
      <c r="F10" s="3" t="s">
        <v>53</v>
      </c>
      <c r="G10" s="6" t="s">
        <v>11</v>
      </c>
      <c r="H10" s="1">
        <v>88</v>
      </c>
      <c r="I10" s="4" t="s">
        <v>52</v>
      </c>
    </row>
    <row r="11" spans="1:9" x14ac:dyDescent="0.4">
      <c r="A11" s="1">
        <v>10</v>
      </c>
      <c r="B11" s="3" t="s">
        <v>54</v>
      </c>
      <c r="C11" s="1">
        <v>4</v>
      </c>
      <c r="D11" s="3" t="s">
        <v>50</v>
      </c>
      <c r="E11" s="6" t="s">
        <v>45</v>
      </c>
      <c r="F11" s="10" t="s">
        <v>56</v>
      </c>
      <c r="G11" s="6" t="s">
        <v>11</v>
      </c>
      <c r="H11" s="1">
        <v>88</v>
      </c>
      <c r="I11" s="4" t="s">
        <v>55</v>
      </c>
    </row>
    <row r="12" spans="1:9" x14ac:dyDescent="0.4">
      <c r="A12" s="1">
        <v>11</v>
      </c>
      <c r="B12" s="3" t="s">
        <v>57</v>
      </c>
      <c r="C12" s="1">
        <v>4</v>
      </c>
      <c r="D12" s="3" t="s">
        <v>58</v>
      </c>
      <c r="E12" s="6" t="s">
        <v>45</v>
      </c>
      <c r="F12" s="3" t="s">
        <v>60</v>
      </c>
      <c r="G12" s="6" t="s">
        <v>11</v>
      </c>
      <c r="H12" s="1">
        <v>17.600000000000001</v>
      </c>
      <c r="I12" s="4" t="s">
        <v>59</v>
      </c>
    </row>
    <row r="13" spans="1:9" ht="34.799999999999997" x14ac:dyDescent="0.4">
      <c r="A13" s="5">
        <v>12</v>
      </c>
      <c r="B13" s="6" t="s">
        <v>62</v>
      </c>
      <c r="C13" s="5">
        <v>2</v>
      </c>
      <c r="D13" s="6" t="s">
        <v>63</v>
      </c>
      <c r="E13" s="6" t="s">
        <v>61</v>
      </c>
      <c r="F13" s="8" t="s">
        <v>64</v>
      </c>
      <c r="G13" s="6" t="s">
        <v>11</v>
      </c>
      <c r="H13" s="5">
        <v>187</v>
      </c>
      <c r="I13" s="7" t="s">
        <v>65</v>
      </c>
    </row>
    <row r="14" spans="1:9" ht="34.799999999999997" x14ac:dyDescent="0.4">
      <c r="A14" s="5">
        <v>13</v>
      </c>
      <c r="B14" s="6" t="s">
        <v>66</v>
      </c>
      <c r="C14" s="5">
        <v>1</v>
      </c>
      <c r="D14" s="6" t="s">
        <v>68</v>
      </c>
      <c r="E14" s="6" t="s">
        <v>67</v>
      </c>
      <c r="F14" s="8" t="s">
        <v>124</v>
      </c>
      <c r="G14" s="6" t="s">
        <v>11</v>
      </c>
      <c r="H14" s="5">
        <v>990</v>
      </c>
      <c r="I14" s="7" t="s">
        <v>69</v>
      </c>
    </row>
    <row r="15" spans="1:9" ht="34.799999999999997" x14ac:dyDescent="0.4">
      <c r="A15" s="5">
        <v>14</v>
      </c>
      <c r="B15" s="6" t="s">
        <v>70</v>
      </c>
      <c r="C15" s="5">
        <v>2</v>
      </c>
      <c r="D15" s="8" t="s">
        <v>143</v>
      </c>
      <c r="E15" s="6" t="s">
        <v>71</v>
      </c>
      <c r="F15" s="8" t="s">
        <v>144</v>
      </c>
      <c r="G15" s="6" t="s">
        <v>11</v>
      </c>
      <c r="H15" s="5">
        <v>5269</v>
      </c>
      <c r="I15" s="7" t="s">
        <v>72</v>
      </c>
    </row>
    <row r="16" spans="1:9" x14ac:dyDescent="0.4">
      <c r="A16" s="1">
        <v>15</v>
      </c>
      <c r="B16" s="3" t="s">
        <v>73</v>
      </c>
      <c r="C16" s="1">
        <v>4</v>
      </c>
      <c r="D16" s="3" t="s">
        <v>74</v>
      </c>
      <c r="E16" s="3" t="s">
        <v>74</v>
      </c>
      <c r="F16" s="3" t="s">
        <v>78</v>
      </c>
      <c r="G16" s="6" t="s">
        <v>11</v>
      </c>
      <c r="H16" s="1">
        <v>3003</v>
      </c>
      <c r="I16" s="4" t="s">
        <v>75</v>
      </c>
    </row>
    <row r="17" spans="1:9" x14ac:dyDescent="0.4">
      <c r="A17" s="1">
        <v>16</v>
      </c>
      <c r="B17" s="3" t="s">
        <v>77</v>
      </c>
      <c r="C17" s="3">
        <v>1</v>
      </c>
      <c r="D17" s="3" t="s">
        <v>79</v>
      </c>
      <c r="E17" s="3" t="s">
        <v>76</v>
      </c>
      <c r="F17" s="3" t="s">
        <v>80</v>
      </c>
      <c r="G17" s="6" t="s">
        <v>11</v>
      </c>
      <c r="H17" s="1">
        <f>740*1.1</f>
        <v>814.00000000000011</v>
      </c>
      <c r="I17" s="4" t="s">
        <v>81</v>
      </c>
    </row>
  </sheetData>
  <phoneticPr fontId="2" type="noConversion"/>
  <hyperlinks>
    <hyperlink ref="I2" r:id="rId1" xr:uid="{565612D1-C184-4A4A-BDDD-745ACF179288}"/>
    <hyperlink ref="I3" r:id="rId2" xr:uid="{9397ECDC-EB96-4869-A09B-9D42764EE464}"/>
    <hyperlink ref="I4" r:id="rId3" xr:uid="{DC71317B-F287-4961-8EE7-6C8E31D8506F}"/>
    <hyperlink ref="I5" r:id="rId4" xr:uid="{658175E0-6B98-4767-82FE-07EAB6BEFF91}"/>
    <hyperlink ref="I6" r:id="rId5" xr:uid="{A923FE68-B748-41AA-AC5C-4D0E3C2CE754}"/>
    <hyperlink ref="I7" r:id="rId6" xr:uid="{6D410A01-E55D-4D19-BF99-E1EAEAF1249A}"/>
    <hyperlink ref="I8" r:id="rId7" xr:uid="{5D9D2465-CAD2-4007-A044-E95C3C559B45}"/>
    <hyperlink ref="I9" r:id="rId8" xr:uid="{49301A6A-31AE-46DA-941A-110004A1A012}"/>
    <hyperlink ref="I10" r:id="rId9" xr:uid="{36333F96-2A2B-4F5C-A41F-15E7AB9F800B}"/>
    <hyperlink ref="I11" r:id="rId10" xr:uid="{2516B926-8546-4690-B1CE-15D77CD2821F}"/>
    <hyperlink ref="I12" r:id="rId11" xr:uid="{B0E555AC-0141-4BC8-AEBF-CBA2E7B6FF54}"/>
    <hyperlink ref="I13" r:id="rId12" xr:uid="{7DBC7500-C91D-417D-B143-AEA31FDC55C8}"/>
    <hyperlink ref="I14" r:id="rId13" xr:uid="{80EEB079-0DB9-494C-B500-8044596CDCD9}"/>
    <hyperlink ref="I15" r:id="rId14" xr:uid="{07D11BDC-E817-48FE-9D05-BA5F9939A3FD}"/>
    <hyperlink ref="I16" r:id="rId15" xr:uid="{556CBC15-555F-4A06-BFB4-60F2CBA5214E}"/>
    <hyperlink ref="I17" r:id="rId16" xr:uid="{E8B32009-5B1A-4181-ACBE-B52FC418569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19E4D-ED2D-4C09-ADAB-63824EB5F277}">
  <dimension ref="A1:I16"/>
  <sheetViews>
    <sheetView tabSelected="1" zoomScale="70" zoomScaleNormal="70" workbookViewId="0">
      <selection activeCell="E24" sqref="E24"/>
    </sheetView>
  </sheetViews>
  <sheetFormatPr defaultRowHeight="17.399999999999999" x14ac:dyDescent="0.4"/>
  <cols>
    <col min="1" max="1" width="5.3984375" bestFit="1" customWidth="1"/>
    <col min="2" max="2" width="17.19921875" bestFit="1" customWidth="1"/>
    <col min="3" max="3" width="6.19921875" bestFit="1" customWidth="1"/>
    <col min="4" max="4" width="20" bestFit="1" customWidth="1"/>
    <col min="5" max="5" width="25.3984375" bestFit="1" customWidth="1"/>
    <col min="6" max="6" width="82" bestFit="1" customWidth="1"/>
    <col min="7" max="7" width="12.3984375" bestFit="1" customWidth="1"/>
    <col min="8" max="8" width="6.3984375" bestFit="1" customWidth="1"/>
    <col min="9" max="9" width="50.59765625" bestFit="1" customWidth="1"/>
  </cols>
  <sheetData>
    <row r="1" spans="1:9" ht="21" x14ac:dyDescent="0.4">
      <c r="A1" s="9" t="s">
        <v>0</v>
      </c>
      <c r="B1" s="9" t="s">
        <v>1</v>
      </c>
      <c r="C1" s="9" t="s">
        <v>10</v>
      </c>
      <c r="D1" s="9" t="s">
        <v>2</v>
      </c>
      <c r="E1" s="9" t="s">
        <v>15</v>
      </c>
      <c r="F1" s="9" t="s">
        <v>3</v>
      </c>
      <c r="G1" s="9" t="s">
        <v>4</v>
      </c>
      <c r="H1" s="9" t="s">
        <v>5</v>
      </c>
      <c r="I1" s="9" t="s">
        <v>6</v>
      </c>
    </row>
    <row r="2" spans="1:9" x14ac:dyDescent="0.4">
      <c r="A2" s="5">
        <v>1</v>
      </c>
      <c r="B2" s="6" t="s">
        <v>82</v>
      </c>
      <c r="C2" s="5">
        <v>1</v>
      </c>
      <c r="D2" s="6" t="s">
        <v>83</v>
      </c>
      <c r="E2" s="6" t="s">
        <v>83</v>
      </c>
      <c r="F2" s="6" t="s">
        <v>84</v>
      </c>
      <c r="G2" s="6" t="s">
        <v>11</v>
      </c>
      <c r="H2" s="5">
        <v>220</v>
      </c>
      <c r="I2" s="7" t="s">
        <v>85</v>
      </c>
    </row>
    <row r="3" spans="1:9" x14ac:dyDescent="0.4">
      <c r="A3" s="5">
        <v>2</v>
      </c>
      <c r="B3" s="6" t="s">
        <v>87</v>
      </c>
      <c r="C3" s="5">
        <v>2</v>
      </c>
      <c r="D3" s="6" t="s">
        <v>91</v>
      </c>
      <c r="E3" s="6" t="s">
        <v>86</v>
      </c>
      <c r="F3" s="6" t="s">
        <v>89</v>
      </c>
      <c r="G3" s="6" t="s">
        <v>11</v>
      </c>
      <c r="H3" s="5">
        <v>1243</v>
      </c>
      <c r="I3" s="7" t="s">
        <v>88</v>
      </c>
    </row>
    <row r="4" spans="1:9" x14ac:dyDescent="0.4">
      <c r="A4" s="5">
        <v>3</v>
      </c>
      <c r="B4" s="6" t="s">
        <v>90</v>
      </c>
      <c r="C4" s="5">
        <v>2</v>
      </c>
      <c r="D4" s="6" t="s">
        <v>92</v>
      </c>
      <c r="E4" s="6" t="s">
        <v>95</v>
      </c>
      <c r="F4" s="6" t="s">
        <v>93</v>
      </c>
      <c r="G4" s="6" t="s">
        <v>11</v>
      </c>
      <c r="H4" s="5">
        <v>2475</v>
      </c>
      <c r="I4" s="7" t="s">
        <v>94</v>
      </c>
    </row>
    <row r="5" spans="1:9" x14ac:dyDescent="0.4">
      <c r="A5" s="5">
        <v>4</v>
      </c>
      <c r="B5" s="6" t="s">
        <v>96</v>
      </c>
      <c r="C5" s="5">
        <v>1</v>
      </c>
      <c r="D5" s="6" t="s">
        <v>98</v>
      </c>
      <c r="E5" s="6" t="s">
        <v>97</v>
      </c>
      <c r="F5" s="6" t="s">
        <v>89</v>
      </c>
      <c r="G5" s="6" t="s">
        <v>11</v>
      </c>
      <c r="H5" s="5">
        <v>4125</v>
      </c>
      <c r="I5" s="7" t="s">
        <v>99</v>
      </c>
    </row>
    <row r="6" spans="1:9" x14ac:dyDescent="0.4">
      <c r="A6" s="5">
        <v>5</v>
      </c>
      <c r="B6" s="6" t="s">
        <v>102</v>
      </c>
      <c r="C6" s="5">
        <v>1</v>
      </c>
      <c r="D6" s="6" t="s">
        <v>100</v>
      </c>
      <c r="E6" s="6" t="s">
        <v>101</v>
      </c>
      <c r="F6" s="6" t="s">
        <v>103</v>
      </c>
      <c r="G6" s="6" t="s">
        <v>11</v>
      </c>
      <c r="H6" s="5">
        <v>198</v>
      </c>
      <c r="I6" s="7" t="s">
        <v>104</v>
      </c>
    </row>
    <row r="7" spans="1:9" x14ac:dyDescent="0.4">
      <c r="A7" s="5">
        <v>6</v>
      </c>
      <c r="B7" s="6" t="s">
        <v>106</v>
      </c>
      <c r="C7" s="5">
        <v>2</v>
      </c>
      <c r="D7" s="6">
        <v>39288040</v>
      </c>
      <c r="E7" s="6" t="s">
        <v>105</v>
      </c>
      <c r="F7" s="6" t="s">
        <v>108</v>
      </c>
      <c r="G7" s="6" t="s">
        <v>11</v>
      </c>
      <c r="H7" s="5">
        <v>319</v>
      </c>
      <c r="I7" s="7" t="s">
        <v>107</v>
      </c>
    </row>
    <row r="8" spans="1:9" x14ac:dyDescent="0.4">
      <c r="A8" s="5">
        <v>7</v>
      </c>
      <c r="B8" s="8" t="s">
        <v>112</v>
      </c>
      <c r="C8" s="5">
        <v>2</v>
      </c>
      <c r="D8" s="6">
        <v>39288040</v>
      </c>
      <c r="E8" s="6" t="s">
        <v>109</v>
      </c>
      <c r="F8" s="8" t="s">
        <v>110</v>
      </c>
      <c r="G8" s="6" t="s">
        <v>11</v>
      </c>
      <c r="H8" s="5">
        <v>385</v>
      </c>
      <c r="I8" s="7" t="s">
        <v>111</v>
      </c>
    </row>
    <row r="9" spans="1:9" x14ac:dyDescent="0.4">
      <c r="A9" s="5">
        <v>8</v>
      </c>
      <c r="B9" s="8" t="s">
        <v>113</v>
      </c>
      <c r="C9" s="5">
        <v>1</v>
      </c>
      <c r="D9" s="6" t="s">
        <v>46</v>
      </c>
      <c r="E9" s="6" t="s">
        <v>45</v>
      </c>
      <c r="F9" s="6" t="s">
        <v>48</v>
      </c>
      <c r="G9" s="6" t="s">
        <v>11</v>
      </c>
      <c r="H9" s="5">
        <v>44</v>
      </c>
      <c r="I9" s="7" t="s">
        <v>47</v>
      </c>
    </row>
    <row r="10" spans="1:9" x14ac:dyDescent="0.4">
      <c r="A10" s="5">
        <v>9</v>
      </c>
      <c r="B10" s="6" t="s">
        <v>14</v>
      </c>
      <c r="C10" s="5">
        <v>1</v>
      </c>
      <c r="D10" s="6" t="s">
        <v>116</v>
      </c>
      <c r="E10" s="6" t="s">
        <v>115</v>
      </c>
      <c r="F10" s="6" t="s">
        <v>114</v>
      </c>
      <c r="G10" s="6" t="s">
        <v>11</v>
      </c>
      <c r="H10" s="5">
        <v>110</v>
      </c>
      <c r="I10" s="7" t="s">
        <v>117</v>
      </c>
    </row>
    <row r="11" spans="1:9" x14ac:dyDescent="0.4">
      <c r="A11" s="5">
        <v>10</v>
      </c>
      <c r="B11" s="6" t="s">
        <v>119</v>
      </c>
      <c r="C11" s="5">
        <v>2</v>
      </c>
      <c r="D11" s="6" t="s">
        <v>120</v>
      </c>
      <c r="E11" s="6" t="s">
        <v>121</v>
      </c>
      <c r="F11" s="6" t="s">
        <v>122</v>
      </c>
      <c r="G11" s="6" t="s">
        <v>11</v>
      </c>
      <c r="H11" s="5">
        <v>583</v>
      </c>
      <c r="I11" s="7" t="s">
        <v>118</v>
      </c>
    </row>
    <row r="12" spans="1:9" ht="34.799999999999997" x14ac:dyDescent="0.4">
      <c r="A12" s="5">
        <v>11</v>
      </c>
      <c r="B12" s="6" t="s">
        <v>123</v>
      </c>
      <c r="C12" s="5">
        <v>2</v>
      </c>
      <c r="D12" s="6" t="s">
        <v>68</v>
      </c>
      <c r="E12" s="6" t="s">
        <v>67</v>
      </c>
      <c r="F12" s="8" t="s">
        <v>124</v>
      </c>
      <c r="G12" s="6" t="s">
        <v>11</v>
      </c>
      <c r="H12" s="5">
        <v>990</v>
      </c>
      <c r="I12" s="7" t="s">
        <v>69</v>
      </c>
    </row>
    <row r="13" spans="1:9" x14ac:dyDescent="0.4">
      <c r="A13" s="5">
        <v>12</v>
      </c>
      <c r="B13" s="6" t="s">
        <v>125</v>
      </c>
      <c r="C13" s="5">
        <v>1</v>
      </c>
      <c r="D13" s="6" t="s">
        <v>126</v>
      </c>
      <c r="E13" s="6" t="s">
        <v>26</v>
      </c>
      <c r="F13" s="8" t="s">
        <v>127</v>
      </c>
      <c r="G13" s="6" t="s">
        <v>11</v>
      </c>
      <c r="H13" s="5">
        <v>5.5</v>
      </c>
      <c r="I13" s="7" t="s">
        <v>128</v>
      </c>
    </row>
    <row r="14" spans="1:9" ht="34.799999999999997" x14ac:dyDescent="0.4">
      <c r="A14" s="5">
        <v>13</v>
      </c>
      <c r="B14" s="6" t="s">
        <v>132</v>
      </c>
      <c r="C14" s="5">
        <v>1</v>
      </c>
      <c r="D14" s="6" t="s">
        <v>131</v>
      </c>
      <c r="E14" s="6" t="s">
        <v>26</v>
      </c>
      <c r="F14" s="8" t="s">
        <v>130</v>
      </c>
      <c r="G14" s="6" t="s">
        <v>11</v>
      </c>
      <c r="H14" s="5">
        <v>253</v>
      </c>
      <c r="I14" s="7" t="s">
        <v>129</v>
      </c>
    </row>
    <row r="15" spans="1:9" x14ac:dyDescent="0.4">
      <c r="A15" s="5">
        <v>14</v>
      </c>
      <c r="B15" s="6" t="s">
        <v>135</v>
      </c>
      <c r="C15" s="5">
        <v>1</v>
      </c>
      <c r="D15" s="6" t="s">
        <v>134</v>
      </c>
      <c r="E15" s="6" t="s">
        <v>133</v>
      </c>
      <c r="F15" s="8" t="s">
        <v>137</v>
      </c>
      <c r="G15" s="6" t="s">
        <v>11</v>
      </c>
      <c r="H15" s="5">
        <v>242</v>
      </c>
      <c r="I15" s="7" t="s">
        <v>136</v>
      </c>
    </row>
    <row r="16" spans="1:9" ht="34.799999999999997" x14ac:dyDescent="0.4">
      <c r="A16" s="5">
        <v>15</v>
      </c>
      <c r="B16" s="6" t="s">
        <v>140</v>
      </c>
      <c r="C16" s="5">
        <v>1</v>
      </c>
      <c r="D16" s="6" t="s">
        <v>139</v>
      </c>
      <c r="E16" s="6" t="s">
        <v>138</v>
      </c>
      <c r="F16" s="8" t="s">
        <v>142</v>
      </c>
      <c r="G16" s="6" t="s">
        <v>11</v>
      </c>
      <c r="H16" s="5">
        <v>14982</v>
      </c>
      <c r="I16" s="7" t="s">
        <v>141</v>
      </c>
    </row>
  </sheetData>
  <phoneticPr fontId="2" type="noConversion"/>
  <hyperlinks>
    <hyperlink ref="I2" r:id="rId1" xr:uid="{DC4F51AC-161A-4F49-8C0B-13171976DA1C}"/>
    <hyperlink ref="I3" r:id="rId2" xr:uid="{B661AA59-9A7F-48CF-B022-0A8AFF457C24}"/>
    <hyperlink ref="I5" r:id="rId3" xr:uid="{F73C4843-1349-422A-B13B-2CFC9F2FB0F0}"/>
    <hyperlink ref="I6" r:id="rId4" xr:uid="{41786536-D171-4810-881E-519ECFEE0B61}"/>
    <hyperlink ref="I7" r:id="rId5" xr:uid="{E6DB1B73-FA3E-457A-B94F-5E2DE5AD2ADF}"/>
    <hyperlink ref="I8" r:id="rId6" xr:uid="{364442C6-6162-4AA9-82BC-2428ED4B2F3B}"/>
    <hyperlink ref="I9" r:id="rId7" xr:uid="{50105557-904D-4CB3-9589-15AF7FC5C54F}"/>
    <hyperlink ref="I10" r:id="rId8" xr:uid="{BFD6DE43-05E7-4F48-BB3F-C20E7AD77F5A}"/>
    <hyperlink ref="I11" r:id="rId9" xr:uid="{1871DAC7-3F07-4012-B8FF-960C75B32629}"/>
    <hyperlink ref="I12" r:id="rId10" xr:uid="{97EFD96B-22EF-4F00-8D58-564C163A3A50}"/>
    <hyperlink ref="I13" r:id="rId11" xr:uid="{78FE5608-88C4-4BFC-9CCC-797A348C99CF}"/>
    <hyperlink ref="I14" r:id="rId12" xr:uid="{E6A67758-8527-4743-9343-0377C4140945}"/>
    <hyperlink ref="I15" r:id="rId13" xr:uid="{8D9C5ACA-D68F-487D-83A5-BA176F190950}"/>
    <hyperlink ref="I16" r:id="rId14" xr:uid="{E1372CEE-A7B5-44AD-BF1C-E04F87787BA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870A-F705-4137-980C-8AC7ABE329EA}">
  <dimension ref="A1:H21"/>
  <sheetViews>
    <sheetView workbookViewId="0">
      <selection activeCell="H17" sqref="H17"/>
    </sheetView>
  </sheetViews>
  <sheetFormatPr defaultRowHeight="17.399999999999999" x14ac:dyDescent="0.4"/>
  <cols>
    <col min="2" max="2" width="6.3984375" bestFit="1" customWidth="1"/>
  </cols>
  <sheetData>
    <row r="1" spans="1:7" x14ac:dyDescent="0.4">
      <c r="A1" s="1">
        <v>3</v>
      </c>
      <c r="B1" s="1">
        <v>1485</v>
      </c>
      <c r="C1">
        <f>A1*B1</f>
        <v>4455</v>
      </c>
      <c r="E1" s="5">
        <v>1</v>
      </c>
      <c r="F1" s="5">
        <v>220</v>
      </c>
      <c r="G1">
        <f>E1*F1</f>
        <v>220</v>
      </c>
    </row>
    <row r="2" spans="1:7" x14ac:dyDescent="0.4">
      <c r="A2" s="1">
        <v>1</v>
      </c>
      <c r="B2" s="1">
        <v>1331</v>
      </c>
      <c r="C2">
        <f t="shared" ref="C2:C16" si="0">A2*B2</f>
        <v>1331</v>
      </c>
      <c r="E2" s="5">
        <v>2</v>
      </c>
      <c r="F2" s="5">
        <v>1243</v>
      </c>
      <c r="G2">
        <f t="shared" ref="G2:G15" si="1">E2*F2</f>
        <v>2486</v>
      </c>
    </row>
    <row r="3" spans="1:7" x14ac:dyDescent="0.4">
      <c r="A3" s="1">
        <v>1</v>
      </c>
      <c r="B3" s="1">
        <v>1331</v>
      </c>
      <c r="C3">
        <f t="shared" si="0"/>
        <v>1331</v>
      </c>
      <c r="E3" s="5">
        <v>2</v>
      </c>
      <c r="F3" s="5">
        <v>2475</v>
      </c>
      <c r="G3">
        <f t="shared" si="1"/>
        <v>4950</v>
      </c>
    </row>
    <row r="4" spans="1:7" x14ac:dyDescent="0.4">
      <c r="A4" s="1">
        <v>6</v>
      </c>
      <c r="B4" s="1">
        <v>5.5</v>
      </c>
      <c r="C4">
        <f t="shared" si="0"/>
        <v>33</v>
      </c>
      <c r="E4" s="5">
        <v>1</v>
      </c>
      <c r="F4" s="5">
        <v>4125</v>
      </c>
      <c r="G4">
        <f t="shared" si="1"/>
        <v>4125</v>
      </c>
    </row>
    <row r="5" spans="1:7" x14ac:dyDescent="0.4">
      <c r="A5" s="1">
        <v>2</v>
      </c>
      <c r="B5" s="1">
        <f>(14850/5000)</f>
        <v>2.97</v>
      </c>
      <c r="C5">
        <f t="shared" si="0"/>
        <v>5.94</v>
      </c>
      <c r="E5" s="5">
        <v>1</v>
      </c>
      <c r="F5" s="5">
        <v>198</v>
      </c>
      <c r="G5">
        <f t="shared" si="1"/>
        <v>198</v>
      </c>
    </row>
    <row r="6" spans="1:7" x14ac:dyDescent="0.4">
      <c r="A6" s="1">
        <v>2</v>
      </c>
      <c r="B6" s="1">
        <v>12221</v>
      </c>
      <c r="C6">
        <f t="shared" si="0"/>
        <v>24442</v>
      </c>
      <c r="E6" s="5">
        <v>2</v>
      </c>
      <c r="F6" s="5">
        <v>319</v>
      </c>
      <c r="G6">
        <f t="shared" si="1"/>
        <v>638</v>
      </c>
    </row>
    <row r="7" spans="1:7" x14ac:dyDescent="0.4">
      <c r="A7" s="5">
        <v>8</v>
      </c>
      <c r="B7" s="5">
        <v>6127</v>
      </c>
      <c r="C7">
        <f t="shared" si="0"/>
        <v>49016</v>
      </c>
      <c r="E7" s="5">
        <v>2</v>
      </c>
      <c r="F7" s="5">
        <v>385</v>
      </c>
      <c r="G7">
        <f t="shared" si="1"/>
        <v>770</v>
      </c>
    </row>
    <row r="8" spans="1:7" x14ac:dyDescent="0.4">
      <c r="A8" s="5">
        <v>10</v>
      </c>
      <c r="B8" s="5">
        <v>44</v>
      </c>
      <c r="C8">
        <f t="shared" si="0"/>
        <v>440</v>
      </c>
      <c r="E8" s="5">
        <v>1</v>
      </c>
      <c r="F8" s="5">
        <v>44</v>
      </c>
      <c r="G8">
        <f t="shared" si="1"/>
        <v>44</v>
      </c>
    </row>
    <row r="9" spans="1:7" x14ac:dyDescent="0.4">
      <c r="A9" s="1">
        <v>4</v>
      </c>
      <c r="B9" s="1">
        <v>88</v>
      </c>
      <c r="C9">
        <f t="shared" si="0"/>
        <v>352</v>
      </c>
      <c r="E9" s="5">
        <v>1</v>
      </c>
      <c r="F9" s="5">
        <v>110</v>
      </c>
      <c r="G9">
        <f t="shared" si="1"/>
        <v>110</v>
      </c>
    </row>
    <row r="10" spans="1:7" x14ac:dyDescent="0.4">
      <c r="A10" s="1">
        <v>4</v>
      </c>
      <c r="B10" s="1">
        <v>88</v>
      </c>
      <c r="C10">
        <f t="shared" si="0"/>
        <v>352</v>
      </c>
      <c r="E10" s="5">
        <v>2</v>
      </c>
      <c r="F10" s="5">
        <v>583</v>
      </c>
      <c r="G10">
        <f t="shared" si="1"/>
        <v>1166</v>
      </c>
    </row>
    <row r="11" spans="1:7" x14ac:dyDescent="0.4">
      <c r="A11" s="1">
        <v>4</v>
      </c>
      <c r="B11" s="1">
        <v>17.600000000000001</v>
      </c>
      <c r="C11">
        <f t="shared" si="0"/>
        <v>70.400000000000006</v>
      </c>
      <c r="E11" s="5">
        <v>2</v>
      </c>
      <c r="F11" s="5">
        <v>990</v>
      </c>
      <c r="G11">
        <f t="shared" si="1"/>
        <v>1980</v>
      </c>
    </row>
    <row r="12" spans="1:7" x14ac:dyDescent="0.4">
      <c r="A12" s="5">
        <v>2</v>
      </c>
      <c r="B12" s="5">
        <v>187</v>
      </c>
      <c r="C12">
        <f t="shared" si="0"/>
        <v>374</v>
      </c>
      <c r="E12" s="5">
        <v>1</v>
      </c>
      <c r="F12" s="5">
        <v>5.5</v>
      </c>
      <c r="G12">
        <f t="shared" si="1"/>
        <v>5.5</v>
      </c>
    </row>
    <row r="13" spans="1:7" x14ac:dyDescent="0.4">
      <c r="A13" s="5">
        <v>1</v>
      </c>
      <c r="B13" s="5">
        <v>990</v>
      </c>
      <c r="C13">
        <f t="shared" si="0"/>
        <v>990</v>
      </c>
      <c r="E13" s="5">
        <v>1</v>
      </c>
      <c r="F13" s="5">
        <v>253</v>
      </c>
      <c r="G13">
        <f t="shared" si="1"/>
        <v>253</v>
      </c>
    </row>
    <row r="14" spans="1:7" x14ac:dyDescent="0.4">
      <c r="A14" s="5">
        <v>2</v>
      </c>
      <c r="B14" s="5">
        <v>5269</v>
      </c>
      <c r="C14">
        <f t="shared" si="0"/>
        <v>10538</v>
      </c>
      <c r="E14" s="5">
        <v>1</v>
      </c>
      <c r="F14" s="5">
        <v>242</v>
      </c>
      <c r="G14">
        <f t="shared" si="1"/>
        <v>242</v>
      </c>
    </row>
    <row r="15" spans="1:7" x14ac:dyDescent="0.4">
      <c r="A15" s="1">
        <v>4</v>
      </c>
      <c r="B15" s="1">
        <v>3003</v>
      </c>
      <c r="C15">
        <f t="shared" si="0"/>
        <v>12012</v>
      </c>
      <c r="E15" s="5">
        <v>1</v>
      </c>
      <c r="F15" s="5">
        <v>14982</v>
      </c>
      <c r="G15">
        <f t="shared" si="1"/>
        <v>14982</v>
      </c>
    </row>
    <row r="16" spans="1:7" x14ac:dyDescent="0.4">
      <c r="A16" s="3">
        <v>1</v>
      </c>
      <c r="B16" s="1">
        <f>740*1.1</f>
        <v>814.00000000000011</v>
      </c>
      <c r="C16">
        <f t="shared" si="0"/>
        <v>814.00000000000011</v>
      </c>
      <c r="G16">
        <f>SUM(G1:G15)</f>
        <v>32169.5</v>
      </c>
    </row>
    <row r="17" spans="3:8" x14ac:dyDescent="0.4">
      <c r="C17">
        <f>SUM(C1:C16)</f>
        <v>106556.34</v>
      </c>
      <c r="H17" s="11" t="s">
        <v>145</v>
      </c>
    </row>
    <row r="19" spans="3:8" x14ac:dyDescent="0.4">
      <c r="D19">
        <f>C17*8</f>
        <v>852450.72</v>
      </c>
      <c r="E19">
        <f>G16*8</f>
        <v>257356</v>
      </c>
    </row>
    <row r="21" spans="3:8" x14ac:dyDescent="0.4">
      <c r="E21">
        <f>D19+E19+160000</f>
        <v>1269806.72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RotorStator_Control_Board(보드1개분</vt:lpstr>
      <vt:lpstr>ESPBoard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YEONCHEOUL YOU</cp:lastModifiedBy>
  <cp:revision>1</cp:revision>
  <dcterms:created xsi:type="dcterms:W3CDTF">2019-10-09T00:00:00Z</dcterms:created>
  <dcterms:modified xsi:type="dcterms:W3CDTF">2026-06-24T07:10:50Z</dcterms:modified>
  <cp:version>1100.0100.01</cp:version>
</cp:coreProperties>
</file>